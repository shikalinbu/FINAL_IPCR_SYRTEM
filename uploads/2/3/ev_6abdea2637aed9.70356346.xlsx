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astg\Downloads\"/>
    </mc:Choice>
  </mc:AlternateContent>
  <bookViews>
    <workbookView xWindow="0" yWindow="0" windowWidth="19200" windowHeight="7190"/>
  </bookViews>
  <sheets>
    <sheet name="Sales Data" sheetId="1" r:id="rId1"/>
    <sheet name="Settings" sheetId="2" r:id="rId2"/>
    <sheet name="Sales Summary" sheetId="3" r:id="rId3"/>
    <sheet name="Dashboard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I38" i="4"/>
  <c r="I37" i="4"/>
  <c r="F38" i="4"/>
  <c r="F39" i="4"/>
  <c r="F40" i="4"/>
  <c r="F37" i="4"/>
  <c r="C38" i="4"/>
  <c r="C39" i="4"/>
  <c r="C40" i="4"/>
  <c r="C37" i="4"/>
  <c r="P2" i="4"/>
  <c r="B2" i="4"/>
  <c r="B5" i="3"/>
  <c r="D26" i="3"/>
  <c r="D27" i="3"/>
  <c r="D28" i="3"/>
  <c r="D25" i="3"/>
  <c r="C26" i="3"/>
  <c r="C28" i="3"/>
  <c r="C25" i="3"/>
  <c r="B26" i="3"/>
  <c r="B27" i="3"/>
  <c r="B28" i="3"/>
  <c r="B25" i="3"/>
  <c r="D19" i="3"/>
  <c r="D20" i="3"/>
  <c r="D21" i="3"/>
  <c r="D18" i="3"/>
  <c r="C19" i="3"/>
  <c r="C20" i="3"/>
  <c r="C18" i="3"/>
  <c r="B19" i="3"/>
  <c r="B20" i="3"/>
  <c r="B21" i="3"/>
  <c r="B18" i="3"/>
  <c r="B13" i="3"/>
  <c r="B12" i="3"/>
  <c r="B11" i="3"/>
  <c r="B10" i="3"/>
  <c r="B8" i="3"/>
  <c r="B4" i="3"/>
  <c r="B3" i="3"/>
  <c r="B2" i="3"/>
  <c r="S21" i="1"/>
  <c r="S20" i="1"/>
  <c r="B14" i="3" s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1" i="1"/>
  <c r="Q2" i="1"/>
  <c r="L3" i="1"/>
  <c r="N3" i="1" s="1"/>
  <c r="M3" i="1"/>
  <c r="O3" i="1"/>
  <c r="L4" i="1"/>
  <c r="N4" i="1" s="1"/>
  <c r="M4" i="1"/>
  <c r="O4" i="1"/>
  <c r="L5" i="1"/>
  <c r="N5" i="1" s="1"/>
  <c r="M5" i="1"/>
  <c r="O5" i="1"/>
  <c r="L6" i="1"/>
  <c r="N6" i="1" s="1"/>
  <c r="M6" i="1"/>
  <c r="O6" i="1"/>
  <c r="L7" i="1"/>
  <c r="N7" i="1" s="1"/>
  <c r="M7" i="1"/>
  <c r="O7" i="1"/>
  <c r="L8" i="1"/>
  <c r="N8" i="1" s="1"/>
  <c r="M8" i="1"/>
  <c r="O8" i="1"/>
  <c r="L9" i="1"/>
  <c r="N9" i="1" s="1"/>
  <c r="M9" i="1"/>
  <c r="O9" i="1"/>
  <c r="L10" i="1"/>
  <c r="N10" i="1" s="1"/>
  <c r="M10" i="1"/>
  <c r="O10" i="1"/>
  <c r="L11" i="1"/>
  <c r="N11" i="1" s="1"/>
  <c r="M11" i="1"/>
  <c r="O11" i="1"/>
  <c r="L12" i="1"/>
  <c r="N12" i="1" s="1"/>
  <c r="M12" i="1"/>
  <c r="O12" i="1"/>
  <c r="L13" i="1"/>
  <c r="N13" i="1" s="1"/>
  <c r="M13" i="1"/>
  <c r="O13" i="1"/>
  <c r="L14" i="1"/>
  <c r="N14" i="1" s="1"/>
  <c r="M14" i="1"/>
  <c r="O14" i="1"/>
  <c r="L15" i="1"/>
  <c r="N15" i="1" s="1"/>
  <c r="M15" i="1"/>
  <c r="O15" i="1"/>
  <c r="L16" i="1"/>
  <c r="N16" i="1" s="1"/>
  <c r="M16" i="1"/>
  <c r="O16" i="1"/>
  <c r="L17" i="1"/>
  <c r="N17" i="1" s="1"/>
  <c r="M17" i="1"/>
  <c r="O17" i="1"/>
  <c r="L18" i="1"/>
  <c r="N18" i="1" s="1"/>
  <c r="M18" i="1"/>
  <c r="O18" i="1"/>
  <c r="L19" i="1"/>
  <c r="N19" i="1" s="1"/>
  <c r="M19" i="1"/>
  <c r="O19" i="1"/>
  <c r="L20" i="1"/>
  <c r="N20" i="1" s="1"/>
  <c r="M20" i="1"/>
  <c r="O20" i="1"/>
  <c r="B6" i="3" s="1"/>
  <c r="L21" i="1"/>
  <c r="N21" i="1" s="1"/>
  <c r="M21" i="1"/>
  <c r="O21" i="1"/>
  <c r="R2" i="1"/>
  <c r="P2" i="1"/>
  <c r="O2" i="1"/>
  <c r="N2" i="1"/>
  <c r="M2" i="1"/>
  <c r="L2" i="1"/>
  <c r="P18" i="1" l="1"/>
  <c r="R18" i="1"/>
  <c r="P14" i="1"/>
  <c r="R14" i="1"/>
  <c r="P10" i="1"/>
  <c r="R10" i="1"/>
  <c r="P6" i="1"/>
  <c r="R6" i="1"/>
  <c r="P19" i="1"/>
  <c r="R19" i="1"/>
  <c r="P15" i="1"/>
  <c r="R15" i="1"/>
  <c r="P11" i="1"/>
  <c r="R11" i="1"/>
  <c r="P7" i="1"/>
  <c r="R7" i="1"/>
  <c r="P3" i="1"/>
  <c r="R3" i="1"/>
  <c r="P20" i="1"/>
  <c r="R20" i="1"/>
  <c r="P16" i="1"/>
  <c r="R16" i="1"/>
  <c r="P12" i="1"/>
  <c r="R12" i="1"/>
  <c r="P8" i="1"/>
  <c r="R8" i="1"/>
  <c r="P4" i="1"/>
  <c r="R4" i="1"/>
  <c r="P21" i="1"/>
  <c r="R21" i="1"/>
  <c r="P17" i="1"/>
  <c r="R17" i="1"/>
  <c r="P13" i="1"/>
  <c r="R13" i="1"/>
  <c r="P9" i="1"/>
  <c r="R9" i="1"/>
  <c r="P5" i="1"/>
  <c r="R5" i="1"/>
  <c r="G2" i="4" l="1"/>
  <c r="C27" i="3"/>
  <c r="Q20" i="1"/>
  <c r="B9" i="3" s="1"/>
  <c r="C21" i="3"/>
  <c r="B7" i="3"/>
</calcChain>
</file>

<file path=xl/sharedStrings.xml><?xml version="1.0" encoding="utf-8"?>
<sst xmlns="http://schemas.openxmlformats.org/spreadsheetml/2006/main" count="199" uniqueCount="105">
  <si>
    <t>Transaction ID</t>
  </si>
  <si>
    <t>Date</t>
  </si>
  <si>
    <t>Cashier</t>
  </si>
  <si>
    <t>Category</t>
  </si>
  <si>
    <t>Product</t>
  </si>
  <si>
    <t>Quantity Sold</t>
  </si>
  <si>
    <t>Unit Price</t>
  </si>
  <si>
    <t>Unit Cost</t>
  </si>
  <si>
    <t>Discunt Rate</t>
  </si>
  <si>
    <t>Sales Target</t>
  </si>
  <si>
    <t>Payment Method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</si>
  <si>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</si>
  <si>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</si>
  <si>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</si>
  <si>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</si>
  <si>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</si>
  <si>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</si>
  <si>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</si>
  <si>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</si>
  <si>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</si>
  <si>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</si>
  <si>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</si>
  <si>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</si>
  <si>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</si>
  <si>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</si>
  <si>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</si>
  <si>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</si>
  <si>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</si>
  <si>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</si>
  <si>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</si>
  <si>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</si>
  <si>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Angela</t>
  </si>
  <si>
    <t>Brian</t>
  </si>
  <si>
    <t>Carla</t>
  </si>
  <si>
    <t>Daniel</t>
  </si>
  <si>
    <t>Beverage</t>
  </si>
  <si>
    <t>Meal</t>
  </si>
  <si>
    <t>Snack</t>
  </si>
  <si>
    <t>Dessert</t>
  </si>
  <si>
    <t>Ice Coffee</t>
  </si>
  <si>
    <t>Chicken Rice Bowl</t>
  </si>
  <si>
    <t>Cheese Sandwich</t>
  </si>
  <si>
    <t>Milk Tea</t>
  </si>
  <si>
    <t>Chocolate Brownie</t>
  </si>
  <si>
    <t>Tuna Pasta</t>
  </si>
  <si>
    <t>Fruit Smoothie</t>
  </si>
  <si>
    <t>Nachos</t>
  </si>
  <si>
    <t>Beef burger</t>
  </si>
  <si>
    <t>Blueberry Muffin</t>
  </si>
  <si>
    <t>Hot Chocolate</t>
  </si>
  <si>
    <t>Grilled Chicken Warp</t>
  </si>
  <si>
    <t>Fries</t>
  </si>
  <si>
    <t>Lemon Ices Tea</t>
  </si>
  <si>
    <t>Cheesecake Slice</t>
  </si>
  <si>
    <t>Pork Sisig Meal</t>
  </si>
  <si>
    <t>Spanish Latte</t>
  </si>
  <si>
    <t>Chiken Empanada</t>
  </si>
  <si>
    <t>Banana Bread</t>
  </si>
  <si>
    <t>Vegetable Pasta</t>
  </si>
  <si>
    <t>Cash</t>
  </si>
  <si>
    <t>GCash</t>
  </si>
  <si>
    <t>Card</t>
  </si>
  <si>
    <t>Gross Sales</t>
  </si>
  <si>
    <t>Discount Amount</t>
  </si>
  <si>
    <t>Net Sales</t>
  </si>
  <si>
    <t>Total Cost</t>
  </si>
  <si>
    <t>Gross Profit</t>
  </si>
  <si>
    <t>Profit Margin</t>
  </si>
  <si>
    <t>Target Status</t>
  </si>
  <si>
    <t>Sales Commision</t>
  </si>
  <si>
    <t>Commission Rate</t>
  </si>
  <si>
    <t>Computaion</t>
  </si>
  <si>
    <t>Explanation</t>
  </si>
  <si>
    <t>Sales Commission</t>
  </si>
  <si>
    <t>Quantity Sold * Unit Price</t>
  </si>
  <si>
    <t>Gross Sales * Discount Rate</t>
  </si>
  <si>
    <t>Quantity Sold * Unit Cost</t>
  </si>
  <si>
    <t>Gross Sales - Discount Amount</t>
  </si>
  <si>
    <t>Net Sales - Total Cost</t>
  </si>
  <si>
    <t>Gross Profit / Net Sales</t>
  </si>
  <si>
    <t>Determine Whether Net Sales Reached the Target</t>
  </si>
  <si>
    <t>Gives a Commission only when the Sales Target is Met</t>
  </si>
  <si>
    <t>Measurement</t>
  </si>
  <si>
    <t>Correct Result</t>
  </si>
  <si>
    <t>Key Performance Indicator</t>
  </si>
  <si>
    <t>Formula</t>
  </si>
  <si>
    <t>Total Numbers of Transaction</t>
  </si>
  <si>
    <t>Total Gross Sales</t>
  </si>
  <si>
    <t>Total Discount Amount</t>
  </si>
  <si>
    <t>Total Net Sales</t>
  </si>
  <si>
    <t>Total Gross Profit</t>
  </si>
  <si>
    <t>Average Net Sales per Transaction</t>
  </si>
  <si>
    <t>Average Profit Margin</t>
  </si>
  <si>
    <t>Highest Net Sales</t>
  </si>
  <si>
    <t>Lowest Net Sales</t>
  </si>
  <si>
    <t>Transactions That Met Target</t>
  </si>
  <si>
    <t>Transactions Below Target</t>
  </si>
  <si>
    <t>Total Commission</t>
  </si>
  <si>
    <t>Product Category</t>
  </si>
  <si>
    <t>Number Of Transactions</t>
  </si>
  <si>
    <t>Number Of Transaction</t>
  </si>
  <si>
    <t>Target Achievement</t>
  </si>
  <si>
    <t>Transaction</t>
  </si>
  <si>
    <t>Target Met</t>
  </si>
  <si>
    <t>Below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</si>
</sst>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-[$₱-3409]* #,##0.00_-;\-[$₱-3409]* #,##0.00_-;_-[$₱-34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4" borderId="0" xfId="0" applyFill="1"/>
    <xf numFmtId="0" fontId="0" fillId="3" borderId="0" xfId="0" applyFill="1"/>
    <xf numFmtId="9" fontId="0" fillId="0" borderId="0" xfId="1" applyFont="1"/>
    <xf numFmtId="165" fontId="0" fillId="0" borderId="0" xfId="0" applyNumberFormat="1"/>
    <xf numFmtId="0" fontId="0" fillId="5" borderId="0" xfId="0" applyFill="1"/>
    <xf numFmtId="9" fontId="0" fillId="5" borderId="0" xfId="1" applyFont="1" applyFill="1"/>
    <xf numFmtId="165" fontId="0" fillId="3" borderId="0" xfId="0" applyNumberFormat="1" applyFill="1"/>
    <xf numFmtId="165" fontId="0" fillId="0" borderId="0" xfId="1" applyNumberFormat="1" applyFont="1"/>
    <xf numFmtId="0" fontId="0" fillId="0" borderId="0" xfId="0" applyNumberFormat="1"/>
    <xf numFmtId="0" fontId="0" fillId="3" borderId="0" xfId="0" applyFill="1" applyAlignment="1">
      <alignment horizontal="center"/>
    </xf>
    <xf numFmtId="0" fontId="2" fillId="3" borderId="1" xfId="0" applyFont="1" applyFill="1" applyBorder="1"/>
    <xf numFmtId="0" fontId="0" fillId="2" borderId="1" xfId="0" applyFill="1" applyBorder="1"/>
    <xf numFmtId="165" fontId="0" fillId="6" borderId="0" xfId="0" applyNumberFormat="1" applyFill="1" applyAlignment="1">
      <alignment horizontal="center"/>
    </xf>
    <xf numFmtId="9" fontId="0" fillId="6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5" fontId="0" fillId="6" borderId="0" xfId="0" applyNumberFormat="1" applyFill="1"/>
    <xf numFmtId="0" fontId="0" fillId="6" borderId="1" xfId="0" applyFill="1" applyBorder="1"/>
    <xf numFmtId="14" fontId="0" fillId="6" borderId="1" xfId="0" applyNumberFormat="1" applyFill="1" applyBorder="1"/>
    <xf numFmtId="9" fontId="0" fillId="6" borderId="1" xfId="0" applyNumberFormat="1" applyFill="1" applyBorder="1"/>
    <xf numFmtId="165" fontId="0" fillId="7" borderId="1" xfId="0" applyNumberFormat="1" applyFill="1" applyBorder="1"/>
    <xf numFmtId="9" fontId="0" fillId="7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Net Sales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Summary'!$B$17</c:f>
              <c:strCache>
                <c:ptCount val="1"/>
                <c:pt idx="0">
                  <c:v>Total Net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Summary'!$A$18:$A$21</c:f>
              <c:strCache>
                <c:ptCount val="4"/>
                <c:pt idx="0">
                  <c:v>Beverage</c:v>
                </c:pt>
                <c:pt idx="1">
                  <c:v>Meal</c:v>
                </c:pt>
                <c:pt idx="2">
                  <c:v>Snack</c:v>
                </c:pt>
                <c:pt idx="3">
                  <c:v>Dessert</c:v>
                </c:pt>
              </c:strCache>
            </c:strRef>
          </c:cat>
          <c:val>
            <c:numRef>
              <c:f>'Sales Summary'!$B$18:$B$21</c:f>
              <c:numCache>
                <c:formatCode>_-[$₱-3409]* #,##0.00_-;\-[$₱-3409]* #,##0.00_-;_-[$₱-3409]* "-"??_-;_-@_-</c:formatCode>
                <c:ptCount val="4"/>
                <c:pt idx="0">
                  <c:v>7854.5</c:v>
                </c:pt>
                <c:pt idx="1">
                  <c:v>7461</c:v>
                </c:pt>
                <c:pt idx="2">
                  <c:v>3650.5</c:v>
                </c:pt>
                <c:pt idx="3">
                  <c:v>4019.5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7092496"/>
        <c:axId val="787091952"/>
      </c:barChart>
      <c:catAx>
        <c:axId val="78709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91952"/>
        <c:crosses val="autoZero"/>
        <c:auto val="1"/>
        <c:lblAlgn val="ctr"/>
        <c:lblOffset val="100"/>
        <c:noMultiLvlLbl val="0"/>
      </c:catAx>
      <c:valAx>
        <c:axId val="7870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₱-3409]* #,##0.00_-;\-[$₱-3409]* #,##0.00_-;_-[$₱-3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Gross Profit by Cashier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Summary'!$C$24</c:f>
              <c:strCache>
                <c:ptCount val="1"/>
                <c:pt idx="0">
                  <c:v>Total Gross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Summary'!$A$25:$A$28</c:f>
              <c:strCache>
                <c:ptCount val="4"/>
                <c:pt idx="0">
                  <c:v>Angela</c:v>
                </c:pt>
                <c:pt idx="1">
                  <c:v>Brian</c:v>
                </c:pt>
                <c:pt idx="2">
                  <c:v>Carla</c:v>
                </c:pt>
                <c:pt idx="3">
                  <c:v>Daniel</c:v>
                </c:pt>
              </c:strCache>
            </c:strRef>
          </c:cat>
          <c:val>
            <c:numRef>
              <c:f>'Sales Summary'!$C$25:$C$28</c:f>
              <c:numCache>
                <c:formatCode>_-[$₱-3409]* #,##0.00_-;\-[$₱-3409]* #,##0.00_-;_-[$₱-3409]* "-"??_-;_-@_-</c:formatCode>
                <c:ptCount val="4"/>
                <c:pt idx="0">
                  <c:v>2541.5</c:v>
                </c:pt>
                <c:pt idx="1">
                  <c:v>2442.5</c:v>
                </c:pt>
                <c:pt idx="2">
                  <c:v>2187.5</c:v>
                </c:pt>
                <c:pt idx="3">
                  <c:v>2488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7094128"/>
        <c:axId val="787085968"/>
      </c:barChart>
      <c:catAx>
        <c:axId val="78709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85968"/>
        <c:crosses val="autoZero"/>
        <c:auto val="1"/>
        <c:lblAlgn val="ctr"/>
        <c:lblOffset val="100"/>
        <c:noMultiLvlLbl val="0"/>
      </c:catAx>
      <c:valAx>
        <c:axId val="7870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₱-3409]* #,##0.00_-;\-[$₱-3409]* #,##0.00_-;_-[$₱-34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9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Target Achievement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'Sales Summary'!$A$12:$A$13</c:f>
              <c:strCache>
                <c:ptCount val="2"/>
                <c:pt idx="0">
                  <c:v>Transactions That Met Target</c:v>
                </c:pt>
                <c:pt idx="1">
                  <c:v>Transactions Below Target</c:v>
                </c:pt>
              </c:strCache>
            </c:strRef>
          </c:cat>
          <c:val>
            <c:numRef>
              <c:f>'Sales Summary'!$B$12:$B$13</c:f>
              <c:numCache>
                <c:formatCode>General</c:formatCode>
                <c:ptCount val="2"/>
                <c:pt idx="0">
                  <c:v>13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9</xdr:col>
      <xdr:colOff>0</xdr:colOff>
      <xdr:row>18</xdr:row>
      <xdr:rowOff>12700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3</xdr:row>
      <xdr:rowOff>12700</xdr:rowOff>
    </xdr:from>
    <xdr:to>
      <xdr:col>18</xdr:col>
      <xdr:colOff>12700</xdr:colOff>
      <xdr:row>18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19</xdr:row>
      <xdr:rowOff>0</xdr:rowOff>
    </xdr:from>
    <xdr:to>
      <xdr:col>9</xdr:col>
      <xdr:colOff>0</xdr:colOff>
      <xdr:row>33</xdr:row>
      <xdr:rowOff>171450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1"/>
  <sheetViews>
    <sheetView tabSelected="1" topLeftCell="G1" workbookViewId="0">
      <selection activeCell="U20" sqref="U20"/>
    </sheetView>
  </sheetViews>
  <sheetFormatPr defaultRowHeight="14.5" x14ac:dyDescent="0.35"/>
  <cols>
    <col min="1" max="1" width="12.90625" bestFit="1" customWidth="1"/>
    <col min="2" max="2" width="9.453125" bestFit="1" customWidth="1"/>
    <col min="3" max="3" width="7" bestFit="1" customWidth="1"/>
    <col min="4" max="4" width="8.453125" bestFit="1" customWidth="1"/>
    <col min="5" max="5" width="18.453125" bestFit="1" customWidth="1"/>
    <col min="6" max="6" width="12" bestFit="1" customWidth="1"/>
    <col min="8" max="8" width="8.36328125" bestFit="1" customWidth="1"/>
    <col min="9" max="9" width="11.1796875" bestFit="1" customWidth="1"/>
    <col min="10" max="10" width="10.7265625" bestFit="1" customWidth="1"/>
    <col min="11" max="11" width="15.26953125" bestFit="1" customWidth="1"/>
    <col min="12" max="12" width="10.1796875" bestFit="1" customWidth="1"/>
    <col min="13" max="13" width="15.36328125" bestFit="1" customWidth="1"/>
    <col min="14" max="14" width="10.1796875" bestFit="1" customWidth="1"/>
    <col min="15" max="15" width="9.08984375" bestFit="1" customWidth="1"/>
    <col min="16" max="16" width="10.54296875" bestFit="1" customWidth="1"/>
    <col min="17" max="17" width="11.7265625" bestFit="1" customWidth="1"/>
    <col min="18" max="18" width="13" bestFit="1" customWidth="1"/>
    <col min="19" max="19" width="14.90625" bestFit="1" customWidth="1"/>
  </cols>
  <sheetData>
    <row r="1" spans="1:19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62</v>
      </c>
      <c r="M1" s="12" t="s">
        <v>63</v>
      </c>
      <c r="N1" s="12" t="s">
        <v>64</v>
      </c>
      <c r="O1" s="12" t="s">
        <v>65</v>
      </c>
      <c r="P1" s="12" t="s">
        <v>66</v>
      </c>
      <c r="Q1" s="12" t="s">
        <v>67</v>
      </c>
      <c r="R1" s="12" t="s">
        <v>68</v>
      </c>
      <c r="S1" s="12" t="s">
        <v>69</v>
      </c>
    </row>
    <row r="2" spans="1:19" x14ac:dyDescent="0.35">
      <c r="A2" s="18" t="s">
        <v>11</v>
      </c>
      <c r="B2" s="19">
        <v>46237</v>
      </c>
      <c r="C2" s="18" t="s">
        <v>31</v>
      </c>
      <c r="D2" s="18" t="s">
        <v>35</v>
      </c>
      <c r="E2" s="18" t="s">
        <v>39</v>
      </c>
      <c r="F2" s="18">
        <v>12</v>
      </c>
      <c r="G2" s="18">
        <v>95</v>
      </c>
      <c r="H2" s="18">
        <v>48</v>
      </c>
      <c r="I2" s="20">
        <v>0.05</v>
      </c>
      <c r="J2" s="18">
        <v>1000</v>
      </c>
      <c r="K2" s="18" t="s">
        <v>59</v>
      </c>
      <c r="L2" s="21">
        <f>F2*G2</f>
        <v>1140</v>
      </c>
      <c r="M2" s="21">
        <f>L2*I2</f>
        <v>57</v>
      </c>
      <c r="N2" s="21">
        <f>L2-M2</f>
        <v>1083</v>
      </c>
      <c r="O2" s="21">
        <f>F2*H2</f>
        <v>576</v>
      </c>
      <c r="P2" s="21">
        <f>N2-O2</f>
        <v>507</v>
      </c>
      <c r="Q2" s="22">
        <f>P2/N2</f>
        <v>0.46814404432132967</v>
      </c>
      <c r="R2" s="21" t="str">
        <f>IF(N2&gt;=J2,"Target Met", "Below Target")</f>
        <v>Target Met</v>
      </c>
      <c r="S2" s="21">
        <f>IF(R2="Target Met",P2*Settings!B1,0)</f>
        <v>25.35</v>
      </c>
    </row>
    <row r="3" spans="1:19" x14ac:dyDescent="0.35">
      <c r="A3" s="18" t="s">
        <v>12</v>
      </c>
      <c r="B3" s="19">
        <v>46237</v>
      </c>
      <c r="C3" s="18" t="s">
        <v>32</v>
      </c>
      <c r="D3" s="18" t="s">
        <v>36</v>
      </c>
      <c r="E3" s="18" t="s">
        <v>40</v>
      </c>
      <c r="F3" s="18">
        <v>8</v>
      </c>
      <c r="G3" s="18">
        <v>145</v>
      </c>
      <c r="H3" s="18">
        <v>90</v>
      </c>
      <c r="I3" s="20">
        <v>0</v>
      </c>
      <c r="J3" s="18">
        <v>1100</v>
      </c>
      <c r="K3" s="18" t="s">
        <v>60</v>
      </c>
      <c r="L3" s="21">
        <f t="shared" ref="L3:L21" si="0">F3*G3</f>
        <v>1160</v>
      </c>
      <c r="M3" s="21">
        <f t="shared" ref="M3:M21" si="1">L3*I3</f>
        <v>0</v>
      </c>
      <c r="N3" s="21">
        <f t="shared" ref="N3:N21" si="2">L3-M3</f>
        <v>1160</v>
      </c>
      <c r="O3" s="21">
        <f t="shared" ref="O3:O21" si="3">F3*H3</f>
        <v>720</v>
      </c>
      <c r="P3" s="21">
        <f t="shared" ref="P3:P21" si="4">N3-O3</f>
        <v>440</v>
      </c>
      <c r="Q3" s="22">
        <f t="shared" ref="Q3:Q21" si="5">P3/N3</f>
        <v>0.37931034482758619</v>
      </c>
      <c r="R3" s="21" t="str">
        <f t="shared" ref="R3:R21" si="6">IF(N3&gt;=J3,"Target Met", "Below Target")</f>
        <v>Target Met</v>
      </c>
      <c r="S3" s="21">
        <f>IF(R3="Target Met",P3*Settings!B1,0)</f>
        <v>22</v>
      </c>
    </row>
    <row r="4" spans="1:19" x14ac:dyDescent="0.35">
      <c r="A4" s="18" t="s">
        <v>13</v>
      </c>
      <c r="B4" s="19">
        <v>46238</v>
      </c>
      <c r="C4" s="18" t="s">
        <v>33</v>
      </c>
      <c r="D4" s="18" t="s">
        <v>37</v>
      </c>
      <c r="E4" s="18" t="s">
        <v>41</v>
      </c>
      <c r="F4" s="18">
        <v>10</v>
      </c>
      <c r="G4" s="18">
        <v>85</v>
      </c>
      <c r="H4" s="18">
        <v>45</v>
      </c>
      <c r="I4" s="20">
        <v>0.05</v>
      </c>
      <c r="J4" s="18">
        <v>800</v>
      </c>
      <c r="K4" s="18" t="s">
        <v>59</v>
      </c>
      <c r="L4" s="21">
        <f t="shared" si="0"/>
        <v>850</v>
      </c>
      <c r="M4" s="21">
        <f t="shared" si="1"/>
        <v>42.5</v>
      </c>
      <c r="N4" s="21">
        <f t="shared" si="2"/>
        <v>807.5</v>
      </c>
      <c r="O4" s="21">
        <f t="shared" si="3"/>
        <v>450</v>
      </c>
      <c r="P4" s="21">
        <f t="shared" si="4"/>
        <v>357.5</v>
      </c>
      <c r="Q4" s="22">
        <f t="shared" si="5"/>
        <v>0.44272445820433437</v>
      </c>
      <c r="R4" s="21" t="str">
        <f t="shared" si="6"/>
        <v>Target Met</v>
      </c>
      <c r="S4" s="21">
        <f>IF(R4="Target Met",P4*Settings!B1,0)</f>
        <v>17.875</v>
      </c>
    </row>
    <row r="5" spans="1:19" x14ac:dyDescent="0.35">
      <c r="A5" s="18" t="s">
        <v>14</v>
      </c>
      <c r="B5" s="19">
        <v>46238</v>
      </c>
      <c r="C5" s="18" t="s">
        <v>34</v>
      </c>
      <c r="D5" s="18" t="s">
        <v>35</v>
      </c>
      <c r="E5" s="18" t="s">
        <v>42</v>
      </c>
      <c r="F5" s="18">
        <v>15</v>
      </c>
      <c r="G5" s="18">
        <v>110</v>
      </c>
      <c r="H5" s="18">
        <v>60</v>
      </c>
      <c r="I5" s="20">
        <v>0.1</v>
      </c>
      <c r="J5" s="18">
        <v>1500</v>
      </c>
      <c r="K5" s="18" t="s">
        <v>60</v>
      </c>
      <c r="L5" s="21">
        <f t="shared" si="0"/>
        <v>1650</v>
      </c>
      <c r="M5" s="21">
        <f t="shared" si="1"/>
        <v>165</v>
      </c>
      <c r="N5" s="21">
        <f t="shared" si="2"/>
        <v>1485</v>
      </c>
      <c r="O5" s="21">
        <f t="shared" si="3"/>
        <v>900</v>
      </c>
      <c r="P5" s="21">
        <f t="shared" si="4"/>
        <v>585</v>
      </c>
      <c r="Q5" s="22">
        <f t="shared" si="5"/>
        <v>0.39393939393939392</v>
      </c>
      <c r="R5" s="21" t="str">
        <f t="shared" si="6"/>
        <v>Below Target</v>
      </c>
      <c r="S5" s="21">
        <f>IF(R5="Target Met",P5*Settings!B4,0)</f>
        <v>0</v>
      </c>
    </row>
    <row r="6" spans="1:19" x14ac:dyDescent="0.35">
      <c r="A6" s="18" t="s">
        <v>15</v>
      </c>
      <c r="B6" s="19">
        <v>46239</v>
      </c>
      <c r="C6" s="18" t="s">
        <v>31</v>
      </c>
      <c r="D6" s="18" t="s">
        <v>38</v>
      </c>
      <c r="E6" s="18" t="s">
        <v>43</v>
      </c>
      <c r="F6" s="18">
        <v>18</v>
      </c>
      <c r="G6" s="18">
        <v>65</v>
      </c>
      <c r="H6" s="18">
        <v>32</v>
      </c>
      <c r="I6" s="20">
        <v>0</v>
      </c>
      <c r="J6" s="18">
        <v>1000</v>
      </c>
      <c r="K6" s="18" t="s">
        <v>59</v>
      </c>
      <c r="L6" s="21">
        <f t="shared" si="0"/>
        <v>1170</v>
      </c>
      <c r="M6" s="21">
        <f t="shared" si="1"/>
        <v>0</v>
      </c>
      <c r="N6" s="21">
        <f t="shared" si="2"/>
        <v>1170</v>
      </c>
      <c r="O6" s="21">
        <f t="shared" si="3"/>
        <v>576</v>
      </c>
      <c r="P6" s="21">
        <f t="shared" si="4"/>
        <v>594</v>
      </c>
      <c r="Q6" s="22">
        <f t="shared" si="5"/>
        <v>0.50769230769230766</v>
      </c>
      <c r="R6" s="21" t="str">
        <f t="shared" si="6"/>
        <v>Target Met</v>
      </c>
      <c r="S6" s="21">
        <f>IF(R6="Target Met",P6*Settings!B1,0)</f>
        <v>29.700000000000003</v>
      </c>
    </row>
    <row r="7" spans="1:19" x14ac:dyDescent="0.35">
      <c r="A7" s="18" t="s">
        <v>16</v>
      </c>
      <c r="B7" s="19">
        <v>46239</v>
      </c>
      <c r="C7" s="18" t="s">
        <v>32</v>
      </c>
      <c r="D7" s="18" t="s">
        <v>36</v>
      </c>
      <c r="E7" s="18" t="s">
        <v>44</v>
      </c>
      <c r="F7" s="18">
        <v>7</v>
      </c>
      <c r="G7" s="18">
        <v>160</v>
      </c>
      <c r="H7" s="18">
        <v>98</v>
      </c>
      <c r="I7" s="20">
        <v>0.05</v>
      </c>
      <c r="J7" s="18">
        <v>1100</v>
      </c>
      <c r="K7" s="18" t="s">
        <v>61</v>
      </c>
      <c r="L7" s="21">
        <f t="shared" si="0"/>
        <v>1120</v>
      </c>
      <c r="M7" s="21">
        <f t="shared" si="1"/>
        <v>56</v>
      </c>
      <c r="N7" s="21">
        <f t="shared" si="2"/>
        <v>1064</v>
      </c>
      <c r="O7" s="21">
        <f t="shared" si="3"/>
        <v>686</v>
      </c>
      <c r="P7" s="21">
        <f t="shared" si="4"/>
        <v>378</v>
      </c>
      <c r="Q7" s="22">
        <f t="shared" si="5"/>
        <v>0.35526315789473684</v>
      </c>
      <c r="R7" s="21" t="str">
        <f t="shared" si="6"/>
        <v>Below Target</v>
      </c>
      <c r="S7" s="21">
        <f>IF(R7="Target Met",P7*Settings!B1,0)</f>
        <v>0</v>
      </c>
    </row>
    <row r="8" spans="1:19" x14ac:dyDescent="0.35">
      <c r="A8" s="18" t="s">
        <v>17</v>
      </c>
      <c r="B8" s="19">
        <v>46240</v>
      </c>
      <c r="C8" s="18" t="s">
        <v>33</v>
      </c>
      <c r="D8" s="18" t="s">
        <v>35</v>
      </c>
      <c r="E8" s="18" t="s">
        <v>45</v>
      </c>
      <c r="F8" s="18">
        <v>11</v>
      </c>
      <c r="G8" s="18">
        <v>120</v>
      </c>
      <c r="H8" s="18">
        <v>70</v>
      </c>
      <c r="I8" s="20">
        <v>0.05</v>
      </c>
      <c r="J8" s="18">
        <v>1200</v>
      </c>
      <c r="K8" s="18" t="s">
        <v>60</v>
      </c>
      <c r="L8" s="21">
        <f t="shared" si="0"/>
        <v>1320</v>
      </c>
      <c r="M8" s="21">
        <f t="shared" si="1"/>
        <v>66</v>
      </c>
      <c r="N8" s="21">
        <f t="shared" si="2"/>
        <v>1254</v>
      </c>
      <c r="O8" s="21">
        <f t="shared" si="3"/>
        <v>770</v>
      </c>
      <c r="P8" s="21">
        <f t="shared" si="4"/>
        <v>484</v>
      </c>
      <c r="Q8" s="22">
        <f t="shared" si="5"/>
        <v>0.38596491228070173</v>
      </c>
      <c r="R8" s="21" t="str">
        <f t="shared" si="6"/>
        <v>Target Met</v>
      </c>
      <c r="S8" s="21">
        <f>IF(R8="Target Met",P8*Settings!B1,0)</f>
        <v>24.200000000000003</v>
      </c>
    </row>
    <row r="9" spans="1:19" x14ac:dyDescent="0.35">
      <c r="A9" s="18" t="s">
        <v>18</v>
      </c>
      <c r="B9" s="19">
        <v>46240</v>
      </c>
      <c r="C9" s="18" t="s">
        <v>34</v>
      </c>
      <c r="D9" s="18" t="s">
        <v>37</v>
      </c>
      <c r="E9" s="18" t="s">
        <v>46</v>
      </c>
      <c r="F9" s="18">
        <v>9</v>
      </c>
      <c r="G9" s="18">
        <v>100</v>
      </c>
      <c r="H9" s="18">
        <v>55</v>
      </c>
      <c r="I9" s="20">
        <v>0</v>
      </c>
      <c r="J9" s="18">
        <v>850</v>
      </c>
      <c r="K9" s="18" t="s">
        <v>59</v>
      </c>
      <c r="L9" s="21">
        <f t="shared" si="0"/>
        <v>900</v>
      </c>
      <c r="M9" s="21">
        <f t="shared" si="1"/>
        <v>0</v>
      </c>
      <c r="N9" s="21">
        <f t="shared" si="2"/>
        <v>900</v>
      </c>
      <c r="O9" s="21">
        <f t="shared" si="3"/>
        <v>495</v>
      </c>
      <c r="P9" s="21">
        <f t="shared" si="4"/>
        <v>405</v>
      </c>
      <c r="Q9" s="22">
        <f t="shared" si="5"/>
        <v>0.45</v>
      </c>
      <c r="R9" s="21" t="str">
        <f t="shared" si="6"/>
        <v>Target Met</v>
      </c>
      <c r="S9" s="21">
        <f>IF(R9="Target Met",P9*Settings!B1,0)</f>
        <v>20.25</v>
      </c>
    </row>
    <row r="10" spans="1:19" x14ac:dyDescent="0.35">
      <c r="A10" s="18" t="s">
        <v>19</v>
      </c>
      <c r="B10" s="19">
        <v>46241</v>
      </c>
      <c r="C10" s="18" t="s">
        <v>31</v>
      </c>
      <c r="D10" s="18" t="s">
        <v>36</v>
      </c>
      <c r="E10" s="18" t="s">
        <v>47</v>
      </c>
      <c r="F10" s="18">
        <v>6</v>
      </c>
      <c r="G10" s="18">
        <v>180</v>
      </c>
      <c r="H10" s="18">
        <v>115</v>
      </c>
      <c r="I10" s="20">
        <v>0.1</v>
      </c>
      <c r="J10" s="18">
        <v>1000</v>
      </c>
      <c r="K10" s="18" t="s">
        <v>61</v>
      </c>
      <c r="L10" s="21">
        <f t="shared" si="0"/>
        <v>1080</v>
      </c>
      <c r="M10" s="21">
        <f t="shared" si="1"/>
        <v>108</v>
      </c>
      <c r="N10" s="21">
        <f t="shared" si="2"/>
        <v>972</v>
      </c>
      <c r="O10" s="21">
        <f t="shared" si="3"/>
        <v>690</v>
      </c>
      <c r="P10" s="21">
        <f t="shared" si="4"/>
        <v>282</v>
      </c>
      <c r="Q10" s="22">
        <f t="shared" si="5"/>
        <v>0.29012345679012347</v>
      </c>
      <c r="R10" s="21" t="str">
        <f t="shared" si="6"/>
        <v>Below Target</v>
      </c>
      <c r="S10" s="21">
        <f>IF(R10="Target Met",P10*Settings!B1,0)</f>
        <v>0</v>
      </c>
    </row>
    <row r="11" spans="1:19" x14ac:dyDescent="0.35">
      <c r="A11" s="18" t="s">
        <v>20</v>
      </c>
      <c r="B11" s="19">
        <v>46241</v>
      </c>
      <c r="C11" s="18" t="s">
        <v>32</v>
      </c>
      <c r="D11" s="18" t="s">
        <v>38</v>
      </c>
      <c r="E11" s="18" t="s">
        <v>48</v>
      </c>
      <c r="F11" s="18">
        <v>14</v>
      </c>
      <c r="G11" s="18">
        <v>75</v>
      </c>
      <c r="H11" s="18">
        <v>38</v>
      </c>
      <c r="I11" s="20">
        <v>0.05</v>
      </c>
      <c r="J11" s="18">
        <v>1000</v>
      </c>
      <c r="K11" s="18" t="s">
        <v>59</v>
      </c>
      <c r="L11" s="21">
        <f t="shared" si="0"/>
        <v>1050</v>
      </c>
      <c r="M11" s="21">
        <f t="shared" si="1"/>
        <v>52.5</v>
      </c>
      <c r="N11" s="21">
        <f t="shared" si="2"/>
        <v>997.5</v>
      </c>
      <c r="O11" s="21">
        <f t="shared" si="3"/>
        <v>532</v>
      </c>
      <c r="P11" s="21">
        <f t="shared" si="4"/>
        <v>465.5</v>
      </c>
      <c r="Q11" s="22">
        <f t="shared" si="5"/>
        <v>0.46666666666666667</v>
      </c>
      <c r="R11" s="21" t="str">
        <f t="shared" si="6"/>
        <v>Below Target</v>
      </c>
      <c r="S11" s="21">
        <f>IF(R11="Target Met",P11*Settings!B1,0)</f>
        <v>0</v>
      </c>
    </row>
    <row r="12" spans="1:19" x14ac:dyDescent="0.35">
      <c r="A12" s="18" t="s">
        <v>21</v>
      </c>
      <c r="B12" s="19">
        <v>46244</v>
      </c>
      <c r="C12" s="18" t="s">
        <v>33</v>
      </c>
      <c r="D12" s="18" t="s">
        <v>35</v>
      </c>
      <c r="E12" s="18" t="s">
        <v>49</v>
      </c>
      <c r="F12" s="18">
        <v>13</v>
      </c>
      <c r="G12" s="18">
        <v>90</v>
      </c>
      <c r="H12" s="18">
        <v>44</v>
      </c>
      <c r="I12" s="20">
        <v>0</v>
      </c>
      <c r="J12" s="18">
        <v>1100</v>
      </c>
      <c r="K12" s="18" t="s">
        <v>60</v>
      </c>
      <c r="L12" s="21">
        <f t="shared" si="0"/>
        <v>1170</v>
      </c>
      <c r="M12" s="21">
        <f t="shared" si="1"/>
        <v>0</v>
      </c>
      <c r="N12" s="21">
        <f t="shared" si="2"/>
        <v>1170</v>
      </c>
      <c r="O12" s="21">
        <f t="shared" si="3"/>
        <v>572</v>
      </c>
      <c r="P12" s="21">
        <f t="shared" si="4"/>
        <v>598</v>
      </c>
      <c r="Q12" s="22">
        <f t="shared" si="5"/>
        <v>0.51111111111111107</v>
      </c>
      <c r="R12" s="21" t="str">
        <f t="shared" si="6"/>
        <v>Target Met</v>
      </c>
      <c r="S12" s="21">
        <f>IF(R12="Target Met",P12*Settings!B1,0)</f>
        <v>29.900000000000002</v>
      </c>
    </row>
    <row r="13" spans="1:19" x14ac:dyDescent="0.35">
      <c r="A13" s="18" t="s">
        <v>22</v>
      </c>
      <c r="B13" s="19">
        <v>46244</v>
      </c>
      <c r="C13" s="18" t="s">
        <v>34</v>
      </c>
      <c r="D13" s="18" t="s">
        <v>36</v>
      </c>
      <c r="E13" s="18" t="s">
        <v>50</v>
      </c>
      <c r="F13" s="18">
        <v>10</v>
      </c>
      <c r="G13" s="18">
        <v>150</v>
      </c>
      <c r="H13" s="18">
        <v>92</v>
      </c>
      <c r="I13" s="20">
        <v>0.05</v>
      </c>
      <c r="J13" s="18">
        <v>1400</v>
      </c>
      <c r="K13" s="18" t="s">
        <v>61</v>
      </c>
      <c r="L13" s="21">
        <f t="shared" si="0"/>
        <v>1500</v>
      </c>
      <c r="M13" s="21">
        <f t="shared" si="1"/>
        <v>75</v>
      </c>
      <c r="N13" s="21">
        <f t="shared" si="2"/>
        <v>1425</v>
      </c>
      <c r="O13" s="21">
        <f t="shared" si="3"/>
        <v>920</v>
      </c>
      <c r="P13" s="21">
        <f t="shared" si="4"/>
        <v>505</v>
      </c>
      <c r="Q13" s="22">
        <f t="shared" si="5"/>
        <v>0.35438596491228069</v>
      </c>
      <c r="R13" s="21" t="str">
        <f t="shared" si="6"/>
        <v>Target Met</v>
      </c>
      <c r="S13" s="21">
        <f>IF(R13="Target Met",P13*Settings!B1,0)</f>
        <v>25.25</v>
      </c>
    </row>
    <row r="14" spans="1:19" x14ac:dyDescent="0.35">
      <c r="A14" s="18" t="s">
        <v>23</v>
      </c>
      <c r="B14" s="19">
        <v>46245</v>
      </c>
      <c r="C14" s="18" t="s">
        <v>31</v>
      </c>
      <c r="D14" s="18" t="s">
        <v>37</v>
      </c>
      <c r="E14" s="18" t="s">
        <v>51</v>
      </c>
      <c r="F14" s="18">
        <v>16</v>
      </c>
      <c r="G14" s="18">
        <v>70</v>
      </c>
      <c r="H14" s="18">
        <v>35</v>
      </c>
      <c r="I14" s="20">
        <v>0.1</v>
      </c>
      <c r="J14" s="18">
        <v>1000</v>
      </c>
      <c r="K14" s="18" t="s">
        <v>59</v>
      </c>
      <c r="L14" s="21">
        <f t="shared" si="0"/>
        <v>1120</v>
      </c>
      <c r="M14" s="21">
        <f t="shared" si="1"/>
        <v>112</v>
      </c>
      <c r="N14" s="21">
        <f t="shared" si="2"/>
        <v>1008</v>
      </c>
      <c r="O14" s="21">
        <f t="shared" si="3"/>
        <v>560</v>
      </c>
      <c r="P14" s="21">
        <f t="shared" si="4"/>
        <v>448</v>
      </c>
      <c r="Q14" s="22">
        <f t="shared" si="5"/>
        <v>0.44444444444444442</v>
      </c>
      <c r="R14" s="21" t="str">
        <f t="shared" si="6"/>
        <v>Target Met</v>
      </c>
      <c r="S14" s="21">
        <f>IF(R14="Target Met",P14*Settings!B1,0)</f>
        <v>22.400000000000002</v>
      </c>
    </row>
    <row r="15" spans="1:19" x14ac:dyDescent="0.35">
      <c r="A15" s="18" t="s">
        <v>24</v>
      </c>
      <c r="B15" s="19">
        <v>46245</v>
      </c>
      <c r="C15" s="18" t="s">
        <v>32</v>
      </c>
      <c r="D15" s="18" t="s">
        <v>35</v>
      </c>
      <c r="E15" s="18" t="s">
        <v>52</v>
      </c>
      <c r="F15" s="18">
        <v>20</v>
      </c>
      <c r="G15" s="18">
        <v>60</v>
      </c>
      <c r="H15" s="18">
        <v>25</v>
      </c>
      <c r="I15" s="20">
        <v>0</v>
      </c>
      <c r="J15" s="18">
        <v>1100</v>
      </c>
      <c r="K15" s="18" t="s">
        <v>60</v>
      </c>
      <c r="L15" s="21">
        <f t="shared" si="0"/>
        <v>1200</v>
      </c>
      <c r="M15" s="21">
        <f t="shared" si="1"/>
        <v>0</v>
      </c>
      <c r="N15" s="21">
        <f t="shared" si="2"/>
        <v>1200</v>
      </c>
      <c r="O15" s="21">
        <f t="shared" si="3"/>
        <v>500</v>
      </c>
      <c r="P15" s="21">
        <f t="shared" si="4"/>
        <v>700</v>
      </c>
      <c r="Q15" s="22">
        <f t="shared" si="5"/>
        <v>0.58333333333333337</v>
      </c>
      <c r="R15" s="21" t="str">
        <f t="shared" si="6"/>
        <v>Target Met</v>
      </c>
      <c r="S15" s="21">
        <f>IF(R15="Target Met",P15*Settings!B1,0)</f>
        <v>35</v>
      </c>
    </row>
    <row r="16" spans="1:19" x14ac:dyDescent="0.35">
      <c r="A16" s="18" t="s">
        <v>25</v>
      </c>
      <c r="B16" s="19">
        <v>46246</v>
      </c>
      <c r="C16" s="18" t="s">
        <v>33</v>
      </c>
      <c r="D16" s="18" t="s">
        <v>38</v>
      </c>
      <c r="E16" s="18" t="s">
        <v>53</v>
      </c>
      <c r="F16" s="18">
        <v>8</v>
      </c>
      <c r="G16" s="18">
        <v>130</v>
      </c>
      <c r="H16" s="18">
        <v>75</v>
      </c>
      <c r="I16" s="20">
        <v>0.05</v>
      </c>
      <c r="J16" s="18">
        <v>1000</v>
      </c>
      <c r="K16" s="18" t="s">
        <v>61</v>
      </c>
      <c r="L16" s="21">
        <f t="shared" si="0"/>
        <v>1040</v>
      </c>
      <c r="M16" s="21">
        <f t="shared" si="1"/>
        <v>52</v>
      </c>
      <c r="N16" s="21">
        <f t="shared" si="2"/>
        <v>988</v>
      </c>
      <c r="O16" s="21">
        <f t="shared" si="3"/>
        <v>600</v>
      </c>
      <c r="P16" s="21">
        <f t="shared" si="4"/>
        <v>388</v>
      </c>
      <c r="Q16" s="22">
        <f t="shared" si="5"/>
        <v>0.39271255060728744</v>
      </c>
      <c r="R16" s="21" t="str">
        <f t="shared" si="6"/>
        <v>Below Target</v>
      </c>
      <c r="S16" s="21">
        <f>IF(R16="Target Met",P16*Settings!B1,0)</f>
        <v>0</v>
      </c>
    </row>
    <row r="17" spans="1:19" x14ac:dyDescent="0.35">
      <c r="A17" s="18" t="s">
        <v>26</v>
      </c>
      <c r="B17" s="19">
        <v>46246</v>
      </c>
      <c r="C17" s="18" t="s">
        <v>34</v>
      </c>
      <c r="D17" s="18" t="s">
        <v>36</v>
      </c>
      <c r="E17" s="18" t="s">
        <v>54</v>
      </c>
      <c r="F17" s="18">
        <v>9</v>
      </c>
      <c r="G17" s="18">
        <v>170</v>
      </c>
      <c r="H17" s="18">
        <v>105</v>
      </c>
      <c r="I17" s="20">
        <v>0.1</v>
      </c>
      <c r="J17" s="18">
        <v>1400</v>
      </c>
      <c r="K17" s="18" t="s">
        <v>59</v>
      </c>
      <c r="L17" s="21">
        <f t="shared" si="0"/>
        <v>1530</v>
      </c>
      <c r="M17" s="21">
        <f t="shared" si="1"/>
        <v>153</v>
      </c>
      <c r="N17" s="21">
        <f t="shared" si="2"/>
        <v>1377</v>
      </c>
      <c r="O17" s="21">
        <f t="shared" si="3"/>
        <v>945</v>
      </c>
      <c r="P17" s="21">
        <f t="shared" si="4"/>
        <v>432</v>
      </c>
      <c r="Q17" s="22">
        <f t="shared" si="5"/>
        <v>0.31372549019607843</v>
      </c>
      <c r="R17" s="21" t="str">
        <f t="shared" si="6"/>
        <v>Below Target</v>
      </c>
      <c r="S17" s="21">
        <f>IF(R17="Target Met",P17*Settings!B1,0)</f>
        <v>0</v>
      </c>
    </row>
    <row r="18" spans="1:19" x14ac:dyDescent="0.35">
      <c r="A18" s="18" t="s">
        <v>27</v>
      </c>
      <c r="B18" s="19">
        <v>46247</v>
      </c>
      <c r="C18" s="18" t="s">
        <v>31</v>
      </c>
      <c r="D18" s="18" t="s">
        <v>35</v>
      </c>
      <c r="E18" s="18" t="s">
        <v>55</v>
      </c>
      <c r="F18" s="18">
        <v>14</v>
      </c>
      <c r="G18" s="18">
        <v>125</v>
      </c>
      <c r="H18" s="18">
        <v>68</v>
      </c>
      <c r="I18" s="20">
        <v>0.05</v>
      </c>
      <c r="J18" s="18">
        <v>1600</v>
      </c>
      <c r="K18" s="18" t="s">
        <v>60</v>
      </c>
      <c r="L18" s="21">
        <f t="shared" si="0"/>
        <v>1750</v>
      </c>
      <c r="M18" s="21">
        <f t="shared" si="1"/>
        <v>87.5</v>
      </c>
      <c r="N18" s="21">
        <f t="shared" si="2"/>
        <v>1662.5</v>
      </c>
      <c r="O18" s="21">
        <f t="shared" si="3"/>
        <v>952</v>
      </c>
      <c r="P18" s="21">
        <f t="shared" si="4"/>
        <v>710.5</v>
      </c>
      <c r="Q18" s="22">
        <f t="shared" si="5"/>
        <v>0.42736842105263156</v>
      </c>
      <c r="R18" s="21" t="str">
        <f t="shared" si="6"/>
        <v>Target Met</v>
      </c>
      <c r="S18" s="21">
        <f>IF(R18="Target Met",P18*Settings!B1,0)</f>
        <v>35.524999999999999</v>
      </c>
    </row>
    <row r="19" spans="1:19" x14ac:dyDescent="0.35">
      <c r="A19" s="18" t="s">
        <v>28</v>
      </c>
      <c r="B19" s="19">
        <v>46247</v>
      </c>
      <c r="C19" s="18" t="s">
        <v>32</v>
      </c>
      <c r="D19" s="18" t="s">
        <v>37</v>
      </c>
      <c r="E19" s="18" t="s">
        <v>56</v>
      </c>
      <c r="F19" s="18">
        <v>17</v>
      </c>
      <c r="G19" s="18">
        <v>55</v>
      </c>
      <c r="H19" s="18">
        <v>28</v>
      </c>
      <c r="I19" s="20">
        <v>0</v>
      </c>
      <c r="J19" s="18">
        <v>900</v>
      </c>
      <c r="K19" s="18" t="s">
        <v>59</v>
      </c>
      <c r="L19" s="21">
        <f t="shared" si="0"/>
        <v>935</v>
      </c>
      <c r="M19" s="21">
        <f t="shared" si="1"/>
        <v>0</v>
      </c>
      <c r="N19" s="21">
        <f t="shared" si="2"/>
        <v>935</v>
      </c>
      <c r="O19" s="21">
        <f t="shared" si="3"/>
        <v>476</v>
      </c>
      <c r="P19" s="21">
        <f t="shared" si="4"/>
        <v>459</v>
      </c>
      <c r="Q19" s="22">
        <f t="shared" si="5"/>
        <v>0.49090909090909091</v>
      </c>
      <c r="R19" s="21" t="str">
        <f t="shared" si="6"/>
        <v>Target Met</v>
      </c>
      <c r="S19" s="21">
        <f>IF(R19="Target Met",P19*Settings!B1,0)</f>
        <v>22.950000000000003</v>
      </c>
    </row>
    <row r="20" spans="1:19" x14ac:dyDescent="0.35">
      <c r="A20" s="18" t="s">
        <v>29</v>
      </c>
      <c r="B20" s="19">
        <v>46248</v>
      </c>
      <c r="C20" s="18" t="s">
        <v>33</v>
      </c>
      <c r="D20" s="18" t="s">
        <v>38</v>
      </c>
      <c r="E20" s="18" t="s">
        <v>57</v>
      </c>
      <c r="F20" s="18">
        <v>12</v>
      </c>
      <c r="G20" s="18">
        <v>80</v>
      </c>
      <c r="H20" s="18">
        <v>42</v>
      </c>
      <c r="I20" s="20">
        <v>0.1</v>
      </c>
      <c r="J20" s="18">
        <v>900</v>
      </c>
      <c r="K20" s="18" t="s">
        <v>60</v>
      </c>
      <c r="L20" s="21">
        <f t="shared" si="0"/>
        <v>960</v>
      </c>
      <c r="M20" s="21">
        <f t="shared" si="1"/>
        <v>96</v>
      </c>
      <c r="N20" s="21">
        <f t="shared" si="2"/>
        <v>864</v>
      </c>
      <c r="O20" s="21">
        <f t="shared" si="3"/>
        <v>504</v>
      </c>
      <c r="P20" s="21">
        <f t="shared" si="4"/>
        <v>360</v>
      </c>
      <c r="Q20" s="22">
        <f t="shared" si="5"/>
        <v>0.41666666666666669</v>
      </c>
      <c r="R20" s="21" t="str">
        <f t="shared" si="6"/>
        <v>Below Target</v>
      </c>
      <c r="S20" s="21">
        <f>IF(R20="Target Met",P20*Settings!B1,0)</f>
        <v>0</v>
      </c>
    </row>
    <row r="21" spans="1:19" x14ac:dyDescent="0.35">
      <c r="A21" s="18" t="s">
        <v>30</v>
      </c>
      <c r="B21" s="19">
        <v>46248</v>
      </c>
      <c r="C21" s="18" t="s">
        <v>34</v>
      </c>
      <c r="D21" s="18" t="s">
        <v>36</v>
      </c>
      <c r="E21" s="18" t="s">
        <v>58</v>
      </c>
      <c r="F21" s="18">
        <v>11</v>
      </c>
      <c r="G21" s="18">
        <v>140</v>
      </c>
      <c r="H21" s="18">
        <v>82</v>
      </c>
      <c r="I21" s="20">
        <v>0.05</v>
      </c>
      <c r="J21" s="18">
        <v>1450</v>
      </c>
      <c r="K21" s="18" t="s">
        <v>61</v>
      </c>
      <c r="L21" s="21">
        <f t="shared" si="0"/>
        <v>1540</v>
      </c>
      <c r="M21" s="21">
        <f t="shared" si="1"/>
        <v>77</v>
      </c>
      <c r="N21" s="21">
        <f t="shared" si="2"/>
        <v>1463</v>
      </c>
      <c r="O21" s="21">
        <f t="shared" si="3"/>
        <v>902</v>
      </c>
      <c r="P21" s="21">
        <f t="shared" si="4"/>
        <v>561</v>
      </c>
      <c r="Q21" s="22">
        <f t="shared" si="5"/>
        <v>0.38345864661654133</v>
      </c>
      <c r="R21" s="21" t="str">
        <f t="shared" si="6"/>
        <v>Target Met</v>
      </c>
      <c r="S21" s="21">
        <f>IF(R21="Target Met",P21*Settings!B1,0)</f>
        <v>28.05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1"/>
  <sheetViews>
    <sheetView workbookViewId="0">
      <selection activeCell="B14" sqref="B14"/>
    </sheetView>
  </sheetViews>
  <sheetFormatPr defaultRowHeight="14.5" x14ac:dyDescent="0.35"/>
  <cols>
    <col min="1" max="1" width="15.7265625" bestFit="1" customWidth="1"/>
    <col min="2" max="2" width="46.36328125" bestFit="1" customWidth="1"/>
  </cols>
  <sheetData>
    <row r="1" spans="1:2" x14ac:dyDescent="0.35">
      <c r="A1" s="5" t="s">
        <v>70</v>
      </c>
      <c r="B1" s="6">
        <v>0.05</v>
      </c>
    </row>
    <row r="3" spans="1:2" x14ac:dyDescent="0.35">
      <c r="A3" s="2" t="s">
        <v>71</v>
      </c>
      <c r="B3" s="2" t="s">
        <v>72</v>
      </c>
    </row>
    <row r="4" spans="1:2" x14ac:dyDescent="0.35">
      <c r="A4" t="s">
        <v>62</v>
      </c>
      <c r="B4" t="s">
        <v>74</v>
      </c>
    </row>
    <row r="5" spans="1:2" x14ac:dyDescent="0.35">
      <c r="A5" t="s">
        <v>63</v>
      </c>
      <c r="B5" t="s">
        <v>75</v>
      </c>
    </row>
    <row r="6" spans="1:2" x14ac:dyDescent="0.35">
      <c r="A6" t="s">
        <v>64</v>
      </c>
      <c r="B6" t="s">
        <v>77</v>
      </c>
    </row>
    <row r="7" spans="1:2" x14ac:dyDescent="0.35">
      <c r="A7" t="s">
        <v>65</v>
      </c>
      <c r="B7" t="s">
        <v>76</v>
      </c>
    </row>
    <row r="8" spans="1:2" x14ac:dyDescent="0.35">
      <c r="A8" t="s">
        <v>66</v>
      </c>
      <c r="B8" t="s">
        <v>78</v>
      </c>
    </row>
    <row r="9" spans="1:2" x14ac:dyDescent="0.35">
      <c r="A9" t="s">
        <v>67</v>
      </c>
      <c r="B9" t="s">
        <v>79</v>
      </c>
    </row>
    <row r="10" spans="1:2" x14ac:dyDescent="0.35">
      <c r="A10" t="s">
        <v>68</v>
      </c>
      <c r="B10" t="s">
        <v>80</v>
      </c>
    </row>
    <row r="11" spans="1:2" x14ac:dyDescent="0.35">
      <c r="A11" t="s">
        <v>73</v>
      </c>
      <c r="B11" t="s">
        <v>81</v>
      </c>
    </row>
    <row r="13" spans="1:2" x14ac:dyDescent="0.35">
      <c r="A13" s="2" t="s">
        <v>82</v>
      </c>
      <c r="B13" s="2" t="s">
        <v>83</v>
      </c>
    </row>
    <row r="14" spans="1:2" x14ac:dyDescent="0.35">
      <c r="A14" t="s">
        <v>62</v>
      </c>
    </row>
    <row r="15" spans="1:2" x14ac:dyDescent="0.35">
      <c r="A15" t="s">
        <v>63</v>
      </c>
    </row>
    <row r="16" spans="1:2" x14ac:dyDescent="0.35">
      <c r="A16" t="s">
        <v>64</v>
      </c>
    </row>
    <row r="17" spans="1:1" x14ac:dyDescent="0.35">
      <c r="A17" t="s">
        <v>65</v>
      </c>
    </row>
    <row r="18" spans="1:1" x14ac:dyDescent="0.35">
      <c r="A18" t="s">
        <v>66</v>
      </c>
    </row>
    <row r="19" spans="1:1" x14ac:dyDescent="0.35">
      <c r="A19" t="s">
        <v>67</v>
      </c>
    </row>
    <row r="20" spans="1:1" x14ac:dyDescent="0.35">
      <c r="A20" t="s">
        <v>68</v>
      </c>
    </row>
    <row r="21" spans="1:1" x14ac:dyDescent="0.35">
      <c r="A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8"/>
  <sheetViews>
    <sheetView topLeftCell="A2" workbookViewId="0">
      <selection activeCell="A25" activeCellId="2" sqref="A2:B14 A18:D21 A25:D28"/>
    </sheetView>
  </sheetViews>
  <sheetFormatPr defaultRowHeight="14.5" x14ac:dyDescent="0.35"/>
  <cols>
    <col min="1" max="1" width="29.453125" bestFit="1" customWidth="1"/>
    <col min="2" max="2" width="14.36328125" style="4" bestFit="1" customWidth="1"/>
    <col min="3" max="3" width="15.26953125" bestFit="1" customWidth="1"/>
    <col min="4" max="4" width="21.36328125" bestFit="1" customWidth="1"/>
  </cols>
  <sheetData>
    <row r="1" spans="1:2" x14ac:dyDescent="0.35">
      <c r="A1" s="2" t="s">
        <v>84</v>
      </c>
      <c r="B1" s="7" t="s">
        <v>85</v>
      </c>
    </row>
    <row r="2" spans="1:2" x14ac:dyDescent="0.35">
      <c r="A2" t="s">
        <v>86</v>
      </c>
      <c r="B2" s="9">
        <f>COUNTA('Sales Data'!A2:A21)</f>
        <v>20</v>
      </c>
    </row>
    <row r="3" spans="1:2" x14ac:dyDescent="0.35">
      <c r="A3" t="s">
        <v>87</v>
      </c>
      <c r="B3" s="4">
        <f>SUM('Sales Data'!L2:L21)</f>
        <v>24185</v>
      </c>
    </row>
    <row r="4" spans="1:2" x14ac:dyDescent="0.35">
      <c r="A4" t="s">
        <v>88</v>
      </c>
      <c r="B4" s="4">
        <f>SUM('Sales Data'!M2:M21)</f>
        <v>1199.5</v>
      </c>
    </row>
    <row r="5" spans="1:2" x14ac:dyDescent="0.35">
      <c r="A5" t="s">
        <v>89</v>
      </c>
      <c r="B5" s="4">
        <f>SUM('Sales Data'!N2:N21)</f>
        <v>22985.5</v>
      </c>
    </row>
    <row r="6" spans="1:2" x14ac:dyDescent="0.35">
      <c r="A6" t="s">
        <v>65</v>
      </c>
      <c r="B6" s="4">
        <f>SUM('Sales Data'!O2:O21)</f>
        <v>13326</v>
      </c>
    </row>
    <row r="7" spans="1:2" x14ac:dyDescent="0.35">
      <c r="A7" t="s">
        <v>90</v>
      </c>
      <c r="B7" s="4">
        <f>SUM('Sales Data'!P2:P21)</f>
        <v>9659.5</v>
      </c>
    </row>
    <row r="8" spans="1:2" x14ac:dyDescent="0.35">
      <c r="A8" t="s">
        <v>91</v>
      </c>
      <c r="B8" s="4">
        <f>AVERAGE('Sales Data'!N2:N21)</f>
        <v>1149.2750000000001</v>
      </c>
    </row>
    <row r="9" spans="1:2" x14ac:dyDescent="0.35">
      <c r="A9" t="s">
        <v>92</v>
      </c>
      <c r="B9" s="3">
        <f>AVERAGE('Sales Data'!Q2:Q21)</f>
        <v>0.42289722312333228</v>
      </c>
    </row>
    <row r="10" spans="1:2" x14ac:dyDescent="0.35">
      <c r="A10" t="s">
        <v>93</v>
      </c>
      <c r="B10" s="8">
        <f>MAX('Sales Data'!N2:N21)</f>
        <v>1662.5</v>
      </c>
    </row>
    <row r="11" spans="1:2" x14ac:dyDescent="0.35">
      <c r="A11" t="s">
        <v>94</v>
      </c>
      <c r="B11" s="4">
        <f>MIN('Sales Data'!N2:N21)</f>
        <v>807.5</v>
      </c>
    </row>
    <row r="12" spans="1:2" x14ac:dyDescent="0.35">
      <c r="A12" t="s">
        <v>95</v>
      </c>
      <c r="B12" s="9">
        <f>COUNTIF('Sales Data'!R2:R21,"Target Met")</f>
        <v>13</v>
      </c>
    </row>
    <row r="13" spans="1:2" x14ac:dyDescent="0.35">
      <c r="A13" t="s">
        <v>96</v>
      </c>
      <c r="B13" s="9">
        <f>COUNTIF('Sales Data'!R2:R21,"Below Target")</f>
        <v>7</v>
      </c>
    </row>
    <row r="14" spans="1:2" x14ac:dyDescent="0.35">
      <c r="A14" t="s">
        <v>97</v>
      </c>
      <c r="B14" s="4">
        <f>SUM('Sales Data'!S2:S21)</f>
        <v>338.45</v>
      </c>
    </row>
    <row r="17" spans="1:4" x14ac:dyDescent="0.35">
      <c r="A17" s="2" t="s">
        <v>98</v>
      </c>
      <c r="B17" s="7" t="s">
        <v>89</v>
      </c>
      <c r="C17" s="2" t="s">
        <v>90</v>
      </c>
      <c r="D17" s="2" t="s">
        <v>99</v>
      </c>
    </row>
    <row r="18" spans="1:4" x14ac:dyDescent="0.35">
      <c r="A18" t="s">
        <v>35</v>
      </c>
      <c r="B18" s="4">
        <f>SUMIF('Sales Data'!D2:D21,'Sales Summary'!A18,'Sales Data'!N2:N21)</f>
        <v>7854.5</v>
      </c>
      <c r="C18" s="4">
        <f>SUMIF('Sales Data'!D2:D21,'Sales Summary'!A18,'Sales Data'!P2:P21)</f>
        <v>3584.5</v>
      </c>
      <c r="D18">
        <f>COUNTIF('Sales Data'!D2:D21,'Sales Summary'!A18)</f>
        <v>6</v>
      </c>
    </row>
    <row r="19" spans="1:4" x14ac:dyDescent="0.35">
      <c r="A19" t="s">
        <v>36</v>
      </c>
      <c r="B19" s="4">
        <f>SUMIF('Sales Data'!D3:D22,'Sales Summary'!A19,'Sales Data'!N3:N22)</f>
        <v>7461</v>
      </c>
      <c r="C19" s="4">
        <f>SUMIF('Sales Data'!D3:D22,'Sales Summary'!A19,'Sales Data'!P3:P22)</f>
        <v>2598</v>
      </c>
      <c r="D19">
        <f>COUNTIF('Sales Data'!D3:D22,'Sales Summary'!A19)</f>
        <v>6</v>
      </c>
    </row>
    <row r="20" spans="1:4" x14ac:dyDescent="0.35">
      <c r="A20" t="s">
        <v>37</v>
      </c>
      <c r="B20" s="4">
        <f>SUMIF('Sales Data'!D4:D23,'Sales Summary'!A20,'Sales Data'!N4:N23)</f>
        <v>3650.5</v>
      </c>
      <c r="C20" s="4">
        <f>SUMIF('Sales Data'!D4:D23,'Sales Summary'!A20,'Sales Data'!P4:P23)</f>
        <v>1669.5</v>
      </c>
      <c r="D20">
        <f>COUNTIF('Sales Data'!D4:D23,'Sales Summary'!A20)</f>
        <v>4</v>
      </c>
    </row>
    <row r="21" spans="1:4" x14ac:dyDescent="0.35">
      <c r="A21" t="s">
        <v>38</v>
      </c>
      <c r="B21" s="4">
        <f>SUMIF('Sales Data'!D5:D24,'Sales Summary'!A21,'Sales Data'!N5:N24)</f>
        <v>4019.5</v>
      </c>
      <c r="C21" s="4">
        <f>SUMIF('Sales Data'!D5:D24,'Sales Summary'!A21,'Sales Data'!P5:P24)</f>
        <v>1807.5</v>
      </c>
      <c r="D21">
        <f>COUNTIF('Sales Data'!D5:D24,'Sales Summary'!A21)</f>
        <v>4</v>
      </c>
    </row>
    <row r="24" spans="1:4" x14ac:dyDescent="0.35">
      <c r="A24" s="2" t="s">
        <v>2</v>
      </c>
      <c r="B24" s="7" t="s">
        <v>89</v>
      </c>
      <c r="C24" s="2" t="s">
        <v>90</v>
      </c>
      <c r="D24" s="2" t="s">
        <v>100</v>
      </c>
    </row>
    <row r="25" spans="1:4" x14ac:dyDescent="0.35">
      <c r="A25" t="s">
        <v>31</v>
      </c>
      <c r="B25" s="4">
        <f>SUMIF('Sales Data'!C2:C21,'Sales Data'!C2,'Sales Data'!N2:N21)</f>
        <v>5895.5</v>
      </c>
      <c r="C25" s="4">
        <f>SUMIF('Sales Data'!C2:C21,'Sales Data'!C2,'Sales Data'!P2:P21)</f>
        <v>2541.5</v>
      </c>
      <c r="D25">
        <f>COUNTIF('Sales Data'!C2:C21,'Sales Summary'!A25)</f>
        <v>5</v>
      </c>
    </row>
    <row r="26" spans="1:4" x14ac:dyDescent="0.35">
      <c r="A26" t="s">
        <v>32</v>
      </c>
      <c r="B26" s="4">
        <f>SUMIF('Sales Data'!C3:C22,'Sales Data'!C3,'Sales Data'!N3:N22)</f>
        <v>5356.5</v>
      </c>
      <c r="C26" s="4">
        <f>SUMIF('Sales Data'!C3:C22,'Sales Data'!C3,'Sales Data'!P3:P22)</f>
        <v>2442.5</v>
      </c>
      <c r="D26">
        <f>COUNTIF('Sales Data'!C3:C22,'Sales Summary'!A26)</f>
        <v>5</v>
      </c>
    </row>
    <row r="27" spans="1:4" x14ac:dyDescent="0.35">
      <c r="A27" t="s">
        <v>33</v>
      </c>
      <c r="B27" s="4">
        <f>SUMIF('Sales Data'!C4:C23,'Sales Data'!C4,'Sales Data'!N4:N23)</f>
        <v>5083.5</v>
      </c>
      <c r="C27" s="4">
        <f>SUMIF('Sales Data'!C4:C23,'Sales Data'!C4,'Sales Data'!P4:P23)</f>
        <v>2187.5</v>
      </c>
      <c r="D27">
        <f>COUNTIF('Sales Data'!C4:C23,'Sales Summary'!A27)</f>
        <v>5</v>
      </c>
    </row>
    <row r="28" spans="1:4" x14ac:dyDescent="0.35">
      <c r="A28" t="s">
        <v>34</v>
      </c>
      <c r="B28" s="4">
        <f>SUMIF('Sales Data'!C5:C24,'Sales Data'!C5,'Sales Data'!N5:N24)</f>
        <v>6650</v>
      </c>
      <c r="C28" s="4">
        <f>SUMIF('Sales Data'!C5:C24,'Sales Data'!C5,'Sales Data'!P5:P24)</f>
        <v>2488</v>
      </c>
      <c r="D28">
        <f>COUNTIF('Sales Data'!C5:C24,'Sales Summary'!A28)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R40"/>
  <sheetViews>
    <sheetView workbookViewId="0">
      <selection activeCell="L34" sqref="L34"/>
    </sheetView>
  </sheetViews>
  <sheetFormatPr defaultRowHeight="14.5" x14ac:dyDescent="0.35"/>
  <cols>
    <col min="2" max="2" width="15.1796875" bestFit="1" customWidth="1"/>
    <col min="3" max="3" width="10.1796875" bestFit="1" customWidth="1"/>
    <col min="5" max="5" width="7" bestFit="1" customWidth="1"/>
    <col min="6" max="6" width="10.54296875" bestFit="1" customWidth="1"/>
    <col min="8" max="8" width="11.6328125" bestFit="1" customWidth="1"/>
    <col min="9" max="9" width="10.54296875" bestFit="1" customWidth="1"/>
  </cols>
  <sheetData>
    <row r="1" spans="2:18" x14ac:dyDescent="0.35">
      <c r="B1" s="10" t="s">
        <v>64</v>
      </c>
      <c r="C1" s="10"/>
      <c r="D1" s="10"/>
      <c r="G1" s="10" t="s">
        <v>66</v>
      </c>
      <c r="H1" s="10"/>
      <c r="I1" s="10"/>
      <c r="K1" s="10" t="s">
        <v>101</v>
      </c>
      <c r="L1" s="10"/>
      <c r="M1" s="10"/>
      <c r="P1" s="10" t="s">
        <v>102</v>
      </c>
      <c r="Q1" s="10"/>
      <c r="R1" s="10"/>
    </row>
    <row r="2" spans="2:18" x14ac:dyDescent="0.35">
      <c r="B2" s="13">
        <f>SUM('Sales Data'!N2:N21)</f>
        <v>22985.5</v>
      </c>
      <c r="C2" s="13"/>
      <c r="D2" s="13"/>
      <c r="G2" s="13">
        <f>SUM('Sales Data'!P2:P21)</f>
        <v>9659.5</v>
      </c>
      <c r="H2" s="13"/>
      <c r="I2" s="13"/>
      <c r="K2" s="14">
        <f>COUNTIF('Sales Data'!R2:R21,"Target Met")/COUNTA('Sales Data'!A2:A21)</f>
        <v>0.65</v>
      </c>
      <c r="L2" s="14"/>
      <c r="M2" s="14"/>
      <c r="P2" s="15">
        <f>COUNTA('Sales Data'!A2:A21)</f>
        <v>20</v>
      </c>
      <c r="Q2" s="15"/>
      <c r="R2" s="15"/>
    </row>
    <row r="36" spans="2:9" x14ac:dyDescent="0.35">
      <c r="B36" s="2" t="s">
        <v>98</v>
      </c>
      <c r="C36" s="2" t="s">
        <v>64</v>
      </c>
      <c r="E36" s="1" t="s">
        <v>2</v>
      </c>
      <c r="F36" s="1" t="s">
        <v>66</v>
      </c>
      <c r="H36" s="2" t="s">
        <v>68</v>
      </c>
      <c r="I36" s="2" t="s">
        <v>102</v>
      </c>
    </row>
    <row r="37" spans="2:9" x14ac:dyDescent="0.35">
      <c r="B37" s="16" t="s">
        <v>35</v>
      </c>
      <c r="C37" s="17">
        <f>SUMIF('Sales Data'!D2:D21,Dashboard!B37,'Sales Data'!N2:N21)</f>
        <v>7854.5</v>
      </c>
      <c r="E37" s="16" t="s">
        <v>31</v>
      </c>
      <c r="F37" s="17">
        <f>SUMIF('Sales Data'!C2:C21,Dashboard!E37,'Sales Data'!P2:P21)</f>
        <v>2541.5</v>
      </c>
      <c r="H37" s="16" t="s">
        <v>103</v>
      </c>
      <c r="I37" s="16">
        <f>COUNTIF('Sales Data'!R2:R21,"Target Met")</f>
        <v>13</v>
      </c>
    </row>
    <row r="38" spans="2:9" x14ac:dyDescent="0.35">
      <c r="B38" s="16" t="s">
        <v>36</v>
      </c>
      <c r="C38" s="17">
        <f>SUMIF('Sales Data'!D3:D22,Dashboard!B38,'Sales Data'!N3:N22)</f>
        <v>7461</v>
      </c>
      <c r="E38" s="16" t="s">
        <v>32</v>
      </c>
      <c r="F38" s="17">
        <f>SUMIF('Sales Data'!C3:C22,Dashboard!E38,'Sales Data'!P3:P22)</f>
        <v>2442.5</v>
      </c>
      <c r="H38" s="16" t="s">
        <v>104</v>
      </c>
      <c r="I38" s="16">
        <f>COUNTIF('Sales Data'!R3:R22,"Below Target")</f>
        <v>7</v>
      </c>
    </row>
    <row r="39" spans="2:9" x14ac:dyDescent="0.35">
      <c r="B39" s="16" t="s">
        <v>37</v>
      </c>
      <c r="C39" s="17">
        <f>SUMIF('Sales Data'!D4:D23,Dashboard!B39,'Sales Data'!N4:N23)</f>
        <v>3650.5</v>
      </c>
      <c r="E39" s="16" t="s">
        <v>33</v>
      </c>
      <c r="F39" s="17">
        <f>SUMIF('Sales Data'!C4:C23,Dashboard!E39,'Sales Data'!P4:P23)</f>
        <v>2187.5</v>
      </c>
    </row>
    <row r="40" spans="2:9" x14ac:dyDescent="0.35">
      <c r="B40" s="16" t="s">
        <v>38</v>
      </c>
      <c r="C40" s="17">
        <f>SUMIF('Sales Data'!D5:D24,Dashboard!B40,'Sales Data'!N5:N24)</f>
        <v>4019.5</v>
      </c>
      <c r="E40" s="16" t="s">
        <v>34</v>
      </c>
      <c r="F40" s="17">
        <f>SUMIF('Sales Data'!C5:C24,Dashboard!E40,'Sales Data'!P5:P24)</f>
        <v>2488</v>
      </c>
    </row>
  </sheetData>
  <mergeCells count="8">
    <mergeCell ref="K1:M1"/>
    <mergeCell ref="P1:R1"/>
    <mergeCell ref="B1:D1"/>
    <mergeCell ref="G1:I1"/>
    <mergeCell ref="P2:R2"/>
    <mergeCell ref="K2:M2"/>
    <mergeCell ref="G2:I2"/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Settings</vt:lpstr>
      <vt:lpstr>Sales Summary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Raeford Laragan</dc:creator>
  <cp:lastModifiedBy>Raeford Laragan</cp:lastModifiedBy>
  <dcterms:created xsi:type="dcterms:W3CDTF">2026-09-01T01:48:53Z</dcterms:created>
  <dcterms:modified xsi:type="dcterms:W3CDTF">2026-09-01T05:21:58Z</dcterms:modified>
</cp:coreProperties>
</file>